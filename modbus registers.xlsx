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ojects\StepperMotionController\"/>
    </mc:Choice>
  </mc:AlternateContent>
  <xr:revisionPtr revIDLastSave="0" documentId="13_ncr:1_{C0E991B8-199D-44E1-969F-CCFE8D19A401}" xr6:coauthVersionLast="45" xr6:coauthVersionMax="45" xr10:uidLastSave="{00000000-0000-0000-0000-000000000000}"/>
  <bookViews>
    <workbookView xWindow="810" yWindow="-120" windowWidth="28110" windowHeight="16440" xr2:uid="{DC46F36D-68DF-4C45-91AB-289B8F70B9B7}"/>
  </bookViews>
  <sheets>
    <sheet name="Лист1" sheetId="1" r:id="rId1"/>
    <sheet name="registers bi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" l="1"/>
  <c r="C9" i="1"/>
  <c r="B9" i="1" s="1"/>
  <c r="G4" i="1"/>
  <c r="E57" i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41" i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25" i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C10" i="1" l="1"/>
  <c r="E36" i="1"/>
  <c r="B10" i="1" l="1"/>
  <c r="C11" i="1"/>
  <c r="E37" i="1"/>
  <c r="C12" i="1" l="1"/>
  <c r="B11" i="1"/>
  <c r="E38" i="1"/>
  <c r="C13" i="1" l="1"/>
  <c r="B12" i="1"/>
  <c r="E39" i="1"/>
  <c r="C14" i="1" l="1"/>
  <c r="B13" i="1"/>
  <c r="C15" i="1" l="1"/>
  <c r="B14" i="1"/>
  <c r="C16" i="1" l="1"/>
  <c r="B15" i="1"/>
  <c r="C17" i="1" l="1"/>
  <c r="B16" i="1"/>
  <c r="C18" i="1" l="1"/>
  <c r="B17" i="1"/>
  <c r="C19" i="1" l="1"/>
  <c r="B18" i="1"/>
  <c r="C20" i="1" l="1"/>
  <c r="B19" i="1"/>
  <c r="C21" i="1" l="1"/>
  <c r="B20" i="1"/>
  <c r="C22" i="1" l="1"/>
  <c r="B21" i="1"/>
  <c r="C23" i="1" l="1"/>
  <c r="B22" i="1"/>
  <c r="C24" i="1" l="1"/>
  <c r="B23" i="1"/>
  <c r="C25" i="1" l="1"/>
  <c r="B24" i="1"/>
  <c r="G5" i="1"/>
  <c r="C26" i="1" l="1"/>
  <c r="B25" i="1"/>
  <c r="C27" i="1" l="1"/>
  <c r="B26" i="1"/>
  <c r="C28" i="1" l="1"/>
  <c r="B27" i="1"/>
  <c r="C29" i="1" l="1"/>
  <c r="B28" i="1"/>
  <c r="C30" i="1" l="1"/>
  <c r="B29" i="1"/>
  <c r="C31" i="1" l="1"/>
  <c r="B30" i="1"/>
  <c r="C32" i="1" l="1"/>
  <c r="B31" i="1"/>
  <c r="C33" i="1" l="1"/>
  <c r="B32" i="1"/>
  <c r="C34" i="1" l="1"/>
  <c r="B33" i="1"/>
  <c r="C35" i="1" l="1"/>
  <c r="B34" i="1"/>
  <c r="C36" i="1" l="1"/>
  <c r="B35" i="1"/>
  <c r="C37" i="1" l="1"/>
  <c r="B36" i="1"/>
  <c r="C38" i="1" l="1"/>
  <c r="B37" i="1"/>
  <c r="C39" i="1" l="1"/>
  <c r="B38" i="1"/>
  <c r="C40" i="1" l="1"/>
  <c r="B39" i="1"/>
  <c r="C41" i="1" l="1"/>
  <c r="B40" i="1"/>
  <c r="C42" i="1" l="1"/>
  <c r="B41" i="1"/>
  <c r="C43" i="1" l="1"/>
  <c r="B42" i="1"/>
  <c r="C44" i="1" l="1"/>
  <c r="B43" i="1"/>
  <c r="C45" i="1" l="1"/>
  <c r="B44" i="1"/>
  <c r="C46" i="1" l="1"/>
  <c r="B45" i="1"/>
  <c r="C47" i="1" l="1"/>
  <c r="B46" i="1"/>
  <c r="C48" i="1" l="1"/>
  <c r="B47" i="1"/>
  <c r="C49" i="1" l="1"/>
  <c r="B48" i="1"/>
  <c r="C50" i="1" l="1"/>
  <c r="B49" i="1"/>
  <c r="C51" i="1" l="1"/>
  <c r="B50" i="1"/>
  <c r="C52" i="1" l="1"/>
  <c r="B51" i="1"/>
  <c r="C53" i="1" l="1"/>
  <c r="B52" i="1"/>
  <c r="C54" i="1" l="1"/>
  <c r="B53" i="1"/>
  <c r="C55" i="1" l="1"/>
  <c r="B54" i="1"/>
  <c r="C56" i="1" l="1"/>
  <c r="B55" i="1"/>
  <c r="C57" i="1" l="1"/>
  <c r="B56" i="1"/>
  <c r="C58" i="1" l="1"/>
  <c r="B57" i="1"/>
  <c r="C59" i="1" l="1"/>
  <c r="B58" i="1"/>
  <c r="C60" i="1" l="1"/>
  <c r="B59" i="1"/>
  <c r="C61" i="1" l="1"/>
  <c r="B60" i="1"/>
  <c r="C62" i="1" l="1"/>
  <c r="B61" i="1"/>
  <c r="C63" i="1" l="1"/>
  <c r="B62" i="1"/>
  <c r="C64" i="1" l="1"/>
  <c r="B63" i="1"/>
  <c r="C65" i="1" l="1"/>
  <c r="B64" i="1"/>
  <c r="C66" i="1" l="1"/>
  <c r="B65" i="1"/>
  <c r="C67" i="1" l="1"/>
  <c r="B66" i="1"/>
  <c r="C68" i="1" l="1"/>
  <c r="B67" i="1"/>
  <c r="C69" i="1" l="1"/>
  <c r="B68" i="1"/>
  <c r="C70" i="1" l="1"/>
  <c r="B69" i="1"/>
  <c r="C71" i="1" l="1"/>
  <c r="B71" i="1" s="1"/>
  <c r="B70" i="1"/>
</calcChain>
</file>

<file path=xl/sharedStrings.xml><?xml version="1.0" encoding="utf-8"?>
<sst xmlns="http://schemas.openxmlformats.org/spreadsheetml/2006/main" count="188" uniqueCount="68">
  <si>
    <t>CONTROL</t>
  </si>
  <si>
    <t>R/W</t>
  </si>
  <si>
    <t>R</t>
  </si>
  <si>
    <t>Единицы / Масштаб</t>
  </si>
  <si>
    <t>W</t>
  </si>
  <si>
    <t>инкрементирует TARGET_POS</t>
  </si>
  <si>
    <t>максимально возможное ускорение</t>
  </si>
  <si>
    <t>максимально возможная скорость</t>
  </si>
  <si>
    <t>номер шага к которому стремиться двигатель</t>
  </si>
  <si>
    <t>текущий шаг двигателя</t>
  </si>
  <si>
    <t>текущая скорость двигателя</t>
  </si>
  <si>
    <t>текущее ускорение</t>
  </si>
  <si>
    <t>STATUS</t>
  </si>
  <si>
    <t>EN</t>
  </si>
  <si>
    <t>Reserved</t>
  </si>
  <si>
    <t>-</t>
  </si>
  <si>
    <t>BaseAddress</t>
  </si>
  <si>
    <t>№ Motor</t>
  </si>
  <si>
    <t>№ reg in Motor Block</t>
  </si>
  <si>
    <t>Direction</t>
  </si>
  <si>
    <t xml:space="preserve">Data type </t>
  </si>
  <si>
    <t>Description</t>
  </si>
  <si>
    <t>offset per motor</t>
  </si>
  <si>
    <t>Register size (bytes)</t>
  </si>
  <si>
    <t>u16</t>
  </si>
  <si>
    <t>i16</t>
  </si>
  <si>
    <t>ERROR_CODE</t>
  </si>
  <si>
    <t>0=OK, иначе код</t>
  </si>
  <si>
    <t>MODE</t>
  </si>
  <si>
    <t>CMD</t>
  </si>
  <si>
    <t>bitfield</t>
  </si>
  <si>
    <t>RESERVED</t>
  </si>
  <si>
    <t>CURRENT_POS_16</t>
  </si>
  <si>
    <t>MAX_VELOCITY_16</t>
  </si>
  <si>
    <t>MAX_ACCEL_16</t>
  </si>
  <si>
    <t>TARGET_POS_16</t>
  </si>
  <si>
    <t>CURRENT_VELOCITY_16</t>
  </si>
  <si>
    <t>Section</t>
  </si>
  <si>
    <t>A</t>
  </si>
  <si>
    <t>MOVE_POS_REL_16</t>
  </si>
  <si>
    <t>i32</t>
  </si>
  <si>
    <t>u32</t>
  </si>
  <si>
    <t>CURRENT_POS_32</t>
  </si>
  <si>
    <t>CURRENT_VELOCITY_32</t>
  </si>
  <si>
    <t>CURRENT_ACCEL_32</t>
  </si>
  <si>
    <t>CURRENT_ACCEL_16</t>
  </si>
  <si>
    <t>TARGET_POS_32</t>
  </si>
  <si>
    <t>MAX_VELOCITY_32</t>
  </si>
  <si>
    <t>MAX_ACCEL_32</t>
  </si>
  <si>
    <t>MOVE_POS_REL_32</t>
  </si>
  <si>
    <t>B</t>
  </si>
  <si>
    <t>C</t>
  </si>
  <si>
    <t>step</t>
  </si>
  <si>
    <t>step/sec</t>
  </si>
  <si>
    <t>step/sec²</t>
  </si>
  <si>
    <t>Register name</t>
  </si>
  <si>
    <t>8 step/s</t>
  </si>
  <si>
    <t>256 step/s²</t>
  </si>
  <si>
    <t>offset per general reg</t>
  </si>
  <si>
    <t>GNERAL</t>
  </si>
  <si>
    <t>Offset in Section</t>
  </si>
  <si>
    <t>Address</t>
  </si>
  <si>
    <t>RUNNING</t>
  </si>
  <si>
    <t>FAULT</t>
  </si>
  <si>
    <t>Bit func</t>
  </si>
  <si>
    <t>Default</t>
  </si>
  <si>
    <t>Bit number</t>
  </si>
  <si>
    <t>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</si>
</sst>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 tint="0.49998474074526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wrapText="1"/>
    </xf>
    <xf numFmtId="0" fontId="1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2" fillId="0" borderId="1" xfId="1" applyFont="1" applyBorder="1" applyAlignment="1">
      <alignment horizontal="left" vertical="center"/>
    </xf>
    <xf numFmtId="0" fontId="0" fillId="0" borderId="1" xfId="0" applyFont="1" applyBorder="1"/>
    <xf numFmtId="1" fontId="0" fillId="0" borderId="1" xfId="0" applyNumberFormat="1" applyFont="1" applyBorder="1" applyAlignment="1">
      <alignment horizontal="center" vertical="center"/>
    </xf>
    <xf numFmtId="0" fontId="0" fillId="0" borderId="0" xfId="0" applyBorder="1" applyAlignment="1">
      <alignment wrapText="1"/>
    </xf>
    <xf numFmtId="1" fontId="0" fillId="0" borderId="1" xfId="0" applyNumberFormat="1" applyFont="1" applyBorder="1" applyAlignment="1">
      <alignment horizontal="center" vertical="center"/>
    </xf>
    <xf numFmtId="1" fontId="0" fillId="0" borderId="8" xfId="0" applyNumberFormat="1" applyFont="1" applyBorder="1" applyAlignment="1">
      <alignment horizontal="center" vertical="center"/>
    </xf>
    <xf numFmtId="1" fontId="0" fillId="0" borderId="8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4" fillId="0" borderId="1" xfId="0" applyFont="1" applyBorder="1"/>
    <xf numFmtId="1" fontId="0" fillId="0" borderId="1" xfId="0" applyNumberFormat="1" applyFont="1" applyBorder="1" applyAlignment="1">
      <alignment horizontal="center" vertical="top" wrapText="1"/>
    </xf>
    <xf numFmtId="0" fontId="0" fillId="0" borderId="8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8" xfId="0" applyFont="1" applyBorder="1" applyAlignment="1">
      <alignment horizontal="center"/>
    </xf>
    <xf numFmtId="0" fontId="0" fillId="0" borderId="8" xfId="0" applyFont="1" applyBorder="1"/>
    <xf numFmtId="0" fontId="0" fillId="0" borderId="20" xfId="0" applyNumberFormat="1" applyFont="1" applyBorder="1" applyAlignment="1">
      <alignment horizontal="center" vertical="center"/>
    </xf>
    <xf numFmtId="1" fontId="0" fillId="0" borderId="20" xfId="0" applyNumberFormat="1" applyFont="1" applyBorder="1" applyAlignment="1">
      <alignment horizontal="center" vertical="center"/>
    </xf>
    <xf numFmtId="1" fontId="0" fillId="0" borderId="20" xfId="0" applyNumberFormat="1" applyFont="1" applyBorder="1" applyAlignment="1">
      <alignment horizontal="center" vertical="center"/>
    </xf>
    <xf numFmtId="0" fontId="4" fillId="0" borderId="20" xfId="0" applyFont="1" applyBorder="1"/>
    <xf numFmtId="0" fontId="0" fillId="0" borderId="20" xfId="0" applyFont="1" applyBorder="1" applyAlignment="1">
      <alignment horizontal="center"/>
    </xf>
    <xf numFmtId="0" fontId="0" fillId="0" borderId="20" xfId="0" applyFont="1" applyBorder="1" applyAlignment="1">
      <alignment horizontal="left" vertical="center"/>
    </xf>
    <xf numFmtId="0" fontId="2" fillId="0" borderId="20" xfId="1" applyFont="1" applyBorder="1" applyAlignment="1">
      <alignment horizontal="left" vertical="center"/>
    </xf>
    <xf numFmtId="0" fontId="0" fillId="0" borderId="20" xfId="0" applyBorder="1"/>
    <xf numFmtId="1" fontId="0" fillId="0" borderId="21" xfId="0" applyNumberFormat="1" applyFont="1" applyBorder="1" applyAlignment="1">
      <alignment horizontal="center" vertical="center"/>
    </xf>
    <xf numFmtId="0" fontId="0" fillId="0" borderId="21" xfId="0" applyFont="1" applyBorder="1" applyAlignment="1">
      <alignment horizontal="left" vertical="center"/>
    </xf>
    <xf numFmtId="0" fontId="0" fillId="0" borderId="21" xfId="0" applyFont="1" applyBorder="1" applyAlignment="1">
      <alignment horizontal="center"/>
    </xf>
    <xf numFmtId="0" fontId="0" fillId="0" borderId="21" xfId="0" applyFont="1" applyBorder="1"/>
    <xf numFmtId="0" fontId="0" fillId="0" borderId="20" xfId="0" applyFont="1" applyBorder="1"/>
    <xf numFmtId="0" fontId="1" fillId="0" borderId="24" xfId="0" applyFont="1" applyBorder="1" applyAlignment="1">
      <alignment horizontal="center" vertical="center" wrapText="1"/>
    </xf>
    <xf numFmtId="1" fontId="0" fillId="0" borderId="20" xfId="0" applyNumberFormat="1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15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0" fillId="0" borderId="15" xfId="0" applyFont="1" applyBorder="1" applyAlignment="1">
      <alignment horizontal="center"/>
    </xf>
    <xf numFmtId="0" fontId="0" fillId="0" borderId="15" xfId="0" applyFont="1" applyBorder="1"/>
    <xf numFmtId="0" fontId="0" fillId="0" borderId="1" xfId="0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top" wrapText="1"/>
    </xf>
    <xf numFmtId="0" fontId="4" fillId="0" borderId="2" xfId="0" applyFont="1" applyBorder="1"/>
    <xf numFmtId="0" fontId="1" fillId="0" borderId="2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left" vertical="center"/>
    </xf>
    <xf numFmtId="1" fontId="0" fillId="0" borderId="21" xfId="0" applyNumberFormat="1" applyFont="1" applyBorder="1" applyAlignment="1">
      <alignment horizontal="center" vertical="center"/>
    </xf>
    <xf numFmtId="0" fontId="2" fillId="0" borderId="21" xfId="1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1" xfId="0" applyNumberFormat="1" applyBorder="1"/>
    <xf numFmtId="0" fontId="0" fillId="0" borderId="26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1" fontId="0" fillId="0" borderId="22" xfId="0" applyNumberFormat="1" applyFont="1" applyBorder="1" applyAlignment="1">
      <alignment horizontal="center" vertical="center"/>
    </xf>
    <xf numFmtId="1" fontId="0" fillId="0" borderId="8" xfId="0" applyNumberFormat="1" applyFont="1" applyBorder="1" applyAlignment="1">
      <alignment horizontal="center" vertical="top" wrapText="1"/>
    </xf>
    <xf numFmtId="1" fontId="0" fillId="0" borderId="21" xfId="0" applyNumberFormat="1" applyFont="1" applyBorder="1" applyAlignment="1">
      <alignment horizontal="center" vertical="top" wrapText="1"/>
    </xf>
    <xf numFmtId="0" fontId="0" fillId="0" borderId="26" xfId="0" applyNumberFormat="1" applyFont="1" applyBorder="1" applyAlignment="1">
      <alignment horizontal="center" vertical="center"/>
    </xf>
    <xf numFmtId="0" fontId="0" fillId="0" borderId="2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8" xfId="0" applyBorder="1"/>
    <xf numFmtId="1" fontId="0" fillId="0" borderId="19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4FFC-8A29-4C42-B121-E14C5689CA26}">
  <dimension ref="A3:T72"/>
  <sheetViews>
    <sheetView tabSelected="1" zoomScale="82" zoomScaleNormal="100" workbookViewId="0">
      <selection activeCell="H5" sqref="H5"/>
    </sheetView>
  </sheetViews>
  <sheetFormatPr defaultRowHeight="15" x14ac:dyDescent="0.25"/>
  <cols>
    <col min="2" max="2" width="8.42578125" customWidth="1"/>
    <col min="3" max="3" width="9" customWidth="1"/>
    <col min="4" max="4" width="10" customWidth="1"/>
    <col min="5" max="5" width="11.85546875" customWidth="1"/>
    <col min="6" max="6" width="21.42578125" customWidth="1"/>
    <col min="7" max="7" width="9.140625" customWidth="1"/>
    <col min="8" max="8" width="9.7109375" customWidth="1"/>
    <col min="9" max="9" width="6" customWidth="1"/>
    <col min="10" max="10" width="11.42578125" customWidth="1"/>
    <col min="11" max="11" width="44.7109375" customWidth="1"/>
  </cols>
  <sheetData>
    <row r="3" spans="1:11" x14ac:dyDescent="0.25">
      <c r="B3" s="15"/>
      <c r="C3" s="15"/>
      <c r="D3" s="15"/>
      <c r="E3" s="15"/>
      <c r="F3" s="5" t="s">
        <v>16</v>
      </c>
      <c r="G3" s="5">
        <v>40000</v>
      </c>
    </row>
    <row r="4" spans="1:11" x14ac:dyDescent="0.25">
      <c r="B4" s="26"/>
      <c r="C4" s="15"/>
      <c r="D4" s="15"/>
      <c r="E4" s="15"/>
      <c r="F4" s="16" t="s">
        <v>22</v>
      </c>
      <c r="G4" s="70">
        <f>64</f>
        <v>64</v>
      </c>
    </row>
    <row r="5" spans="1:11" x14ac:dyDescent="0.25">
      <c r="B5" s="15"/>
      <c r="C5" s="15"/>
      <c r="D5" s="15"/>
      <c r="E5" s="15"/>
      <c r="F5" s="5" t="s">
        <v>58</v>
      </c>
      <c r="G5" s="70">
        <f>C24</f>
        <v>16</v>
      </c>
    </row>
    <row r="6" spans="1:11" ht="15.75" thickBot="1" x14ac:dyDescent="0.3"/>
    <row r="7" spans="1:11" ht="45.75" customHeight="1" thickBot="1" x14ac:dyDescent="0.3">
      <c r="A7" s="55" t="s">
        <v>17</v>
      </c>
      <c r="B7" s="56" t="s">
        <v>61</v>
      </c>
      <c r="C7" s="56" t="s">
        <v>18</v>
      </c>
      <c r="D7" s="56" t="s">
        <v>37</v>
      </c>
      <c r="E7" s="56" t="s">
        <v>60</v>
      </c>
      <c r="F7" s="56" t="s">
        <v>55</v>
      </c>
      <c r="G7" s="56" t="s">
        <v>19</v>
      </c>
      <c r="H7" s="56" t="s">
        <v>23</v>
      </c>
      <c r="I7" s="56" t="s">
        <v>20</v>
      </c>
      <c r="J7" s="56" t="s">
        <v>3</v>
      </c>
      <c r="K7" s="57" t="s">
        <v>21</v>
      </c>
    </row>
    <row r="8" spans="1:11" ht="15.75" customHeight="1" x14ac:dyDescent="0.25">
      <c r="A8" s="61" t="s">
        <v>15</v>
      </c>
      <c r="B8" s="77">
        <f>IFERROR($G$3+ C8,"-")</f>
        <v>40000</v>
      </c>
      <c r="C8" s="62">
        <v>0</v>
      </c>
      <c r="D8" s="71" t="s">
        <v>59</v>
      </c>
      <c r="E8" s="62">
        <v>0</v>
      </c>
      <c r="F8" s="63" t="s">
        <v>31</v>
      </c>
      <c r="G8" s="64"/>
      <c r="H8" s="64"/>
      <c r="I8" s="65"/>
      <c r="J8" s="64"/>
      <c r="K8" s="64"/>
    </row>
    <row r="9" spans="1:11" ht="15.75" customHeight="1" x14ac:dyDescent="0.25">
      <c r="A9" s="30"/>
      <c r="B9" s="20">
        <f t="shared" ref="B9:B71" si="0">IFERROR($G$3+ C9,"-")</f>
        <v>40001</v>
      </c>
      <c r="C9" s="32">
        <f>C8+IF(H8="",2,H8)/2</f>
        <v>1</v>
      </c>
      <c r="D9" s="72"/>
      <c r="E9" s="25">
        <f>E8+IF(H8="",2,H8)/2</f>
        <v>1</v>
      </c>
      <c r="F9" s="31" t="s">
        <v>31</v>
      </c>
      <c r="G9" s="13"/>
      <c r="H9" s="13"/>
      <c r="I9" s="21"/>
      <c r="J9" s="13"/>
      <c r="K9" s="13"/>
    </row>
    <row r="10" spans="1:11" ht="15.75" customHeight="1" x14ac:dyDescent="0.25">
      <c r="A10" s="30"/>
      <c r="B10" s="20">
        <f t="shared" si="0"/>
        <v>40002</v>
      </c>
      <c r="C10" s="32">
        <f t="shared" ref="C10:C71" si="1">C9+IF(H9="",2,H9)/2</f>
        <v>2</v>
      </c>
      <c r="D10" s="72"/>
      <c r="E10" s="25">
        <f t="shared" ref="E10:E23" si="2">E9+IF(H9="",2,H9)/2</f>
        <v>2</v>
      </c>
      <c r="F10" s="31" t="s">
        <v>31</v>
      </c>
      <c r="G10" s="13"/>
      <c r="H10" s="13"/>
      <c r="I10" s="21"/>
      <c r="J10" s="13"/>
      <c r="K10" s="13"/>
    </row>
    <row r="11" spans="1:11" ht="15.75" customHeight="1" x14ac:dyDescent="0.25">
      <c r="A11" s="30"/>
      <c r="B11" s="20">
        <f t="shared" si="0"/>
        <v>40003</v>
      </c>
      <c r="C11" s="32">
        <f t="shared" si="1"/>
        <v>3</v>
      </c>
      <c r="D11" s="72"/>
      <c r="E11" s="25">
        <f t="shared" si="2"/>
        <v>3</v>
      </c>
      <c r="F11" s="31" t="s">
        <v>31</v>
      </c>
      <c r="G11" s="13"/>
      <c r="H11" s="13"/>
      <c r="I11" s="21"/>
      <c r="J11" s="13"/>
      <c r="K11" s="13"/>
    </row>
    <row r="12" spans="1:11" ht="15.75" customHeight="1" x14ac:dyDescent="0.25">
      <c r="A12" s="30"/>
      <c r="B12" s="20">
        <f t="shared" si="0"/>
        <v>40004</v>
      </c>
      <c r="C12" s="32">
        <f t="shared" si="1"/>
        <v>4</v>
      </c>
      <c r="D12" s="72"/>
      <c r="E12" s="25">
        <f t="shared" si="2"/>
        <v>4</v>
      </c>
      <c r="F12" s="31" t="s">
        <v>31</v>
      </c>
      <c r="G12" s="13"/>
      <c r="H12" s="13"/>
      <c r="I12" s="21"/>
      <c r="J12" s="13"/>
      <c r="K12" s="13"/>
    </row>
    <row r="13" spans="1:11" ht="15.75" customHeight="1" x14ac:dyDescent="0.25">
      <c r="A13" s="30"/>
      <c r="B13" s="20">
        <f t="shared" si="0"/>
        <v>40005</v>
      </c>
      <c r="C13" s="32">
        <f t="shared" si="1"/>
        <v>5</v>
      </c>
      <c r="D13" s="72"/>
      <c r="E13" s="25">
        <f t="shared" si="2"/>
        <v>5</v>
      </c>
      <c r="F13" s="31" t="s">
        <v>31</v>
      </c>
      <c r="G13" s="13"/>
      <c r="H13" s="13"/>
      <c r="I13" s="21"/>
      <c r="J13" s="13"/>
      <c r="K13" s="13"/>
    </row>
    <row r="14" spans="1:11" ht="15.75" customHeight="1" x14ac:dyDescent="0.25">
      <c r="A14" s="30"/>
      <c r="B14" s="20">
        <f t="shared" si="0"/>
        <v>40006</v>
      </c>
      <c r="C14" s="32">
        <f t="shared" si="1"/>
        <v>6</v>
      </c>
      <c r="D14" s="72"/>
      <c r="E14" s="25">
        <f t="shared" si="2"/>
        <v>6</v>
      </c>
      <c r="F14" s="31" t="s">
        <v>31</v>
      </c>
      <c r="G14" s="13"/>
      <c r="H14" s="13"/>
      <c r="I14" s="21"/>
      <c r="J14" s="13"/>
      <c r="K14" s="13"/>
    </row>
    <row r="15" spans="1:11" ht="15.75" customHeight="1" x14ac:dyDescent="0.25">
      <c r="A15" s="30"/>
      <c r="B15" s="20">
        <f t="shared" si="0"/>
        <v>40007</v>
      </c>
      <c r="C15" s="32">
        <f t="shared" si="1"/>
        <v>7</v>
      </c>
      <c r="D15" s="72"/>
      <c r="E15" s="25">
        <f t="shared" si="2"/>
        <v>7</v>
      </c>
      <c r="F15" s="31" t="s">
        <v>31</v>
      </c>
      <c r="G15" s="53"/>
      <c r="H15" s="53"/>
      <c r="I15" s="54"/>
      <c r="J15" s="53"/>
      <c r="K15" s="53"/>
    </row>
    <row r="16" spans="1:11" ht="15.75" customHeight="1" x14ac:dyDescent="0.25">
      <c r="A16" s="30"/>
      <c r="B16" s="20">
        <f t="shared" si="0"/>
        <v>40008</v>
      </c>
      <c r="C16" s="32">
        <f t="shared" si="1"/>
        <v>8</v>
      </c>
      <c r="D16" s="72"/>
      <c r="E16" s="25">
        <f t="shared" si="2"/>
        <v>8</v>
      </c>
      <c r="F16" s="31" t="s">
        <v>31</v>
      </c>
      <c r="G16" s="53"/>
      <c r="H16" s="53"/>
      <c r="I16" s="54"/>
      <c r="J16" s="53"/>
      <c r="K16" s="53"/>
    </row>
    <row r="17" spans="1:11" ht="15.75" customHeight="1" x14ac:dyDescent="0.25">
      <c r="A17" s="30"/>
      <c r="B17" s="20">
        <f t="shared" si="0"/>
        <v>40009</v>
      </c>
      <c r="C17" s="32">
        <f t="shared" si="1"/>
        <v>9</v>
      </c>
      <c r="D17" s="72"/>
      <c r="E17" s="25">
        <f t="shared" si="2"/>
        <v>9</v>
      </c>
      <c r="F17" s="31" t="s">
        <v>31</v>
      </c>
      <c r="G17" s="53"/>
      <c r="H17" s="53"/>
      <c r="I17" s="54"/>
      <c r="J17" s="53"/>
      <c r="K17" s="53"/>
    </row>
    <row r="18" spans="1:11" ht="15.75" customHeight="1" x14ac:dyDescent="0.25">
      <c r="A18" s="30"/>
      <c r="B18" s="20">
        <f t="shared" si="0"/>
        <v>40010</v>
      </c>
      <c r="C18" s="32">
        <f t="shared" si="1"/>
        <v>10</v>
      </c>
      <c r="D18" s="72"/>
      <c r="E18" s="25">
        <f t="shared" si="2"/>
        <v>10</v>
      </c>
      <c r="F18" s="31" t="s">
        <v>31</v>
      </c>
      <c r="G18" s="53"/>
      <c r="H18" s="53"/>
      <c r="I18" s="54"/>
      <c r="J18" s="53"/>
      <c r="K18" s="53"/>
    </row>
    <row r="19" spans="1:11" ht="15.75" customHeight="1" x14ac:dyDescent="0.25">
      <c r="A19" s="30"/>
      <c r="B19" s="20">
        <f t="shared" si="0"/>
        <v>40011</v>
      </c>
      <c r="C19" s="32">
        <f t="shared" si="1"/>
        <v>11</v>
      </c>
      <c r="D19" s="72"/>
      <c r="E19" s="25">
        <f t="shared" si="2"/>
        <v>11</v>
      </c>
      <c r="F19" s="31" t="s">
        <v>31</v>
      </c>
      <c r="G19" s="53"/>
      <c r="H19" s="53"/>
      <c r="I19" s="54"/>
      <c r="J19" s="53"/>
      <c r="K19" s="53"/>
    </row>
    <row r="20" spans="1:11" ht="15.75" customHeight="1" x14ac:dyDescent="0.25">
      <c r="A20" s="30"/>
      <c r="B20" s="20">
        <f t="shared" si="0"/>
        <v>40012</v>
      </c>
      <c r="C20" s="32">
        <f t="shared" si="1"/>
        <v>12</v>
      </c>
      <c r="D20" s="72"/>
      <c r="E20" s="25">
        <f t="shared" si="2"/>
        <v>12</v>
      </c>
      <c r="F20" s="31" t="s">
        <v>31</v>
      </c>
      <c r="G20" s="53"/>
      <c r="H20" s="53"/>
      <c r="I20" s="54"/>
      <c r="J20" s="53"/>
      <c r="K20" s="53"/>
    </row>
    <row r="21" spans="1:11" ht="15.75" customHeight="1" x14ac:dyDescent="0.25">
      <c r="A21" s="30"/>
      <c r="B21" s="20">
        <f t="shared" si="0"/>
        <v>40013</v>
      </c>
      <c r="C21" s="32">
        <f t="shared" si="1"/>
        <v>13</v>
      </c>
      <c r="D21" s="72"/>
      <c r="E21" s="25">
        <f t="shared" si="2"/>
        <v>13</v>
      </c>
      <c r="F21" s="31" t="s">
        <v>31</v>
      </c>
      <c r="G21" s="53"/>
      <c r="H21" s="53"/>
      <c r="I21" s="54"/>
      <c r="J21" s="53"/>
      <c r="K21" s="53"/>
    </row>
    <row r="22" spans="1:11" ht="15.75" customHeight="1" x14ac:dyDescent="0.25">
      <c r="A22" s="30"/>
      <c r="B22" s="20">
        <f t="shared" si="0"/>
        <v>40014</v>
      </c>
      <c r="C22" s="32">
        <f t="shared" si="1"/>
        <v>14</v>
      </c>
      <c r="D22" s="72"/>
      <c r="E22" s="25">
        <f t="shared" si="2"/>
        <v>14</v>
      </c>
      <c r="F22" s="31" t="s">
        <v>31</v>
      </c>
      <c r="G22" s="53"/>
      <c r="H22" s="53"/>
      <c r="I22" s="54"/>
      <c r="J22" s="53"/>
      <c r="K22" s="53"/>
    </row>
    <row r="23" spans="1:11" ht="15.75" customHeight="1" thickBot="1" x14ac:dyDescent="0.3">
      <c r="A23" s="50"/>
      <c r="B23" s="37">
        <f t="shared" si="0"/>
        <v>40015</v>
      </c>
      <c r="C23" s="51">
        <f t="shared" si="1"/>
        <v>15</v>
      </c>
      <c r="D23" s="73"/>
      <c r="E23" s="38">
        <f t="shared" si="2"/>
        <v>15</v>
      </c>
      <c r="F23" s="31" t="s">
        <v>31</v>
      </c>
      <c r="G23" s="52"/>
      <c r="H23" s="52"/>
      <c r="I23" s="42"/>
      <c r="J23" s="52"/>
      <c r="K23" s="52"/>
    </row>
    <row r="24" spans="1:11" ht="15.75" thickTop="1" x14ac:dyDescent="0.25">
      <c r="A24" s="68">
        <v>1</v>
      </c>
      <c r="B24" s="33">
        <f t="shared" si="0"/>
        <v>40016</v>
      </c>
      <c r="C24" s="75">
        <f t="shared" si="1"/>
        <v>16</v>
      </c>
      <c r="D24" s="28" t="s">
        <v>38</v>
      </c>
      <c r="E24" s="29">
        <v>0</v>
      </c>
      <c r="F24" s="46" t="s">
        <v>0</v>
      </c>
      <c r="G24" s="47" t="s">
        <v>4</v>
      </c>
      <c r="H24" s="47">
        <v>2</v>
      </c>
      <c r="I24" s="46" t="s">
        <v>24</v>
      </c>
      <c r="J24" s="67" t="s">
        <v>30</v>
      </c>
      <c r="K24" s="48"/>
    </row>
    <row r="25" spans="1:11" x14ac:dyDescent="0.25">
      <c r="A25" s="60"/>
      <c r="B25" s="20">
        <f t="shared" si="0"/>
        <v>40017</v>
      </c>
      <c r="C25" s="32">
        <f t="shared" si="1"/>
        <v>17</v>
      </c>
      <c r="D25" s="27"/>
      <c r="E25" s="25">
        <f>E24+IF(H24="",2,H24)/2</f>
        <v>1</v>
      </c>
      <c r="F25" s="21" t="s">
        <v>12</v>
      </c>
      <c r="G25" s="22" t="s">
        <v>2</v>
      </c>
      <c r="H25" s="22">
        <v>2</v>
      </c>
      <c r="I25" s="21" t="s">
        <v>24</v>
      </c>
      <c r="J25" s="23" t="s">
        <v>30</v>
      </c>
      <c r="K25" s="24"/>
    </row>
    <row r="26" spans="1:11" x14ac:dyDescent="0.25">
      <c r="A26" s="60"/>
      <c r="B26" s="20">
        <f t="shared" si="0"/>
        <v>40018</v>
      </c>
      <c r="C26" s="32">
        <f t="shared" si="1"/>
        <v>18</v>
      </c>
      <c r="D26" s="27"/>
      <c r="E26" s="25">
        <f t="shared" ref="E26:E71" si="3">E25+IF(H25="",2,H25)/2</f>
        <v>2</v>
      </c>
      <c r="F26" s="5" t="s">
        <v>26</v>
      </c>
      <c r="G26" s="22" t="s">
        <v>2</v>
      </c>
      <c r="H26" s="22">
        <v>2</v>
      </c>
      <c r="I26" s="21" t="s">
        <v>24</v>
      </c>
      <c r="J26" s="23"/>
      <c r="K26" s="5" t="s">
        <v>27</v>
      </c>
    </row>
    <row r="27" spans="1:11" x14ac:dyDescent="0.25">
      <c r="A27" s="60"/>
      <c r="B27" s="20">
        <f t="shared" si="0"/>
        <v>40019</v>
      </c>
      <c r="C27" s="32">
        <f t="shared" si="1"/>
        <v>19</v>
      </c>
      <c r="D27" s="27"/>
      <c r="E27" s="25">
        <f t="shared" si="3"/>
        <v>3</v>
      </c>
      <c r="F27" s="5" t="s">
        <v>28</v>
      </c>
      <c r="G27" s="22" t="s">
        <v>1</v>
      </c>
      <c r="H27" s="22">
        <v>2</v>
      </c>
      <c r="I27" s="21" t="s">
        <v>24</v>
      </c>
      <c r="J27" s="23"/>
      <c r="K27" s="5"/>
    </row>
    <row r="28" spans="1:11" x14ac:dyDescent="0.25">
      <c r="A28" s="60"/>
      <c r="B28" s="20">
        <f t="shared" si="0"/>
        <v>40020</v>
      </c>
      <c r="C28" s="32">
        <f t="shared" si="1"/>
        <v>20</v>
      </c>
      <c r="D28" s="27"/>
      <c r="E28" s="25">
        <f t="shared" si="3"/>
        <v>4</v>
      </c>
      <c r="F28" s="5" t="s">
        <v>29</v>
      </c>
      <c r="G28" s="22" t="s">
        <v>4</v>
      </c>
      <c r="H28" s="22">
        <v>2</v>
      </c>
      <c r="I28" s="21" t="s">
        <v>24</v>
      </c>
      <c r="J28" s="23"/>
      <c r="K28" s="5"/>
    </row>
    <row r="29" spans="1:11" x14ac:dyDescent="0.25">
      <c r="A29" s="60"/>
      <c r="B29" s="20">
        <f t="shared" si="0"/>
        <v>40021</v>
      </c>
      <c r="C29" s="32">
        <f t="shared" si="1"/>
        <v>21</v>
      </c>
      <c r="D29" s="27"/>
      <c r="E29" s="25">
        <f t="shared" si="3"/>
        <v>5</v>
      </c>
      <c r="F29" s="31" t="s">
        <v>31</v>
      </c>
      <c r="G29" s="22"/>
      <c r="H29" s="22"/>
      <c r="I29" s="21"/>
      <c r="J29" s="23"/>
      <c r="K29" s="5"/>
    </row>
    <row r="30" spans="1:11" x14ac:dyDescent="0.25">
      <c r="A30" s="60"/>
      <c r="B30" s="20">
        <f t="shared" si="0"/>
        <v>40022</v>
      </c>
      <c r="C30" s="32">
        <f t="shared" si="1"/>
        <v>22</v>
      </c>
      <c r="D30" s="27"/>
      <c r="E30" s="25">
        <f t="shared" si="3"/>
        <v>6</v>
      </c>
      <c r="F30" s="31" t="s">
        <v>31</v>
      </c>
      <c r="G30" s="22"/>
      <c r="H30" s="22"/>
      <c r="I30" s="21"/>
      <c r="J30" s="23"/>
      <c r="K30" s="5"/>
    </row>
    <row r="31" spans="1:11" x14ac:dyDescent="0.25">
      <c r="A31" s="60"/>
      <c r="B31" s="20">
        <f t="shared" si="0"/>
        <v>40023</v>
      </c>
      <c r="C31" s="32">
        <f t="shared" si="1"/>
        <v>23</v>
      </c>
      <c r="D31" s="27"/>
      <c r="E31" s="25">
        <f t="shared" si="3"/>
        <v>7</v>
      </c>
      <c r="F31" s="31" t="s">
        <v>31</v>
      </c>
      <c r="G31" s="22"/>
      <c r="H31" s="22"/>
      <c r="I31" s="21"/>
      <c r="J31" s="23"/>
      <c r="K31" s="5"/>
    </row>
    <row r="32" spans="1:11" x14ac:dyDescent="0.25">
      <c r="A32" s="60"/>
      <c r="B32" s="20">
        <f t="shared" si="0"/>
        <v>40024</v>
      </c>
      <c r="C32" s="32">
        <f t="shared" si="1"/>
        <v>24</v>
      </c>
      <c r="D32" s="27"/>
      <c r="E32" s="25">
        <f t="shared" si="3"/>
        <v>8</v>
      </c>
      <c r="F32" s="31" t="s">
        <v>31</v>
      </c>
      <c r="G32" s="22"/>
      <c r="H32" s="22"/>
      <c r="I32" s="21"/>
      <c r="J32" s="23"/>
      <c r="K32" s="5"/>
    </row>
    <row r="33" spans="1:20" x14ac:dyDescent="0.25">
      <c r="A33" s="60"/>
      <c r="B33" s="20">
        <f t="shared" si="0"/>
        <v>40025</v>
      </c>
      <c r="C33" s="32">
        <f t="shared" si="1"/>
        <v>25</v>
      </c>
      <c r="D33" s="27"/>
      <c r="E33" s="25">
        <f t="shared" si="3"/>
        <v>9</v>
      </c>
      <c r="F33" s="31" t="s">
        <v>31</v>
      </c>
      <c r="G33" s="22"/>
      <c r="H33" s="22"/>
      <c r="I33" s="21"/>
      <c r="J33" s="23"/>
      <c r="K33" s="5"/>
    </row>
    <row r="34" spans="1:20" x14ac:dyDescent="0.25">
      <c r="A34" s="60"/>
      <c r="B34" s="20">
        <f t="shared" si="0"/>
        <v>40026</v>
      </c>
      <c r="C34" s="32">
        <f t="shared" si="1"/>
        <v>26</v>
      </c>
      <c r="D34" s="27"/>
      <c r="E34" s="25">
        <f t="shared" si="3"/>
        <v>10</v>
      </c>
      <c r="F34" s="31" t="s">
        <v>31</v>
      </c>
      <c r="G34" s="22"/>
      <c r="H34" s="22"/>
      <c r="I34" s="21"/>
      <c r="J34" s="23"/>
      <c r="K34" s="5"/>
    </row>
    <row r="35" spans="1:20" x14ac:dyDescent="0.25">
      <c r="A35" s="60"/>
      <c r="B35" s="20">
        <f t="shared" si="0"/>
        <v>40027</v>
      </c>
      <c r="C35" s="32">
        <f t="shared" si="1"/>
        <v>27</v>
      </c>
      <c r="D35" s="27"/>
      <c r="E35" s="25">
        <f t="shared" si="3"/>
        <v>11</v>
      </c>
      <c r="F35" s="31" t="s">
        <v>31</v>
      </c>
      <c r="G35" s="22"/>
      <c r="H35" s="22"/>
      <c r="I35" s="21"/>
      <c r="J35" s="23"/>
      <c r="K35" s="5"/>
    </row>
    <row r="36" spans="1:20" x14ac:dyDescent="0.25">
      <c r="A36" s="60"/>
      <c r="B36" s="20">
        <f t="shared" si="0"/>
        <v>40028</v>
      </c>
      <c r="C36" s="32">
        <f t="shared" si="1"/>
        <v>28</v>
      </c>
      <c r="D36" s="27"/>
      <c r="E36" s="25">
        <f t="shared" si="3"/>
        <v>12</v>
      </c>
      <c r="F36" s="31" t="s">
        <v>31</v>
      </c>
      <c r="G36" s="22"/>
      <c r="H36" s="22"/>
      <c r="I36" s="21"/>
      <c r="J36" s="23"/>
      <c r="K36" s="5"/>
    </row>
    <row r="37" spans="1:20" x14ac:dyDescent="0.25">
      <c r="A37" s="60"/>
      <c r="B37" s="20">
        <f t="shared" si="0"/>
        <v>40029</v>
      </c>
      <c r="C37" s="32">
        <f t="shared" si="1"/>
        <v>29</v>
      </c>
      <c r="D37" s="27"/>
      <c r="E37" s="25">
        <f t="shared" si="3"/>
        <v>13</v>
      </c>
      <c r="F37" s="31" t="s">
        <v>31</v>
      </c>
      <c r="G37" s="22"/>
      <c r="H37" s="22"/>
      <c r="I37" s="21"/>
      <c r="J37" s="23"/>
      <c r="K37" s="5"/>
    </row>
    <row r="38" spans="1:20" x14ac:dyDescent="0.25">
      <c r="A38" s="60"/>
      <c r="B38" s="20">
        <f t="shared" si="0"/>
        <v>40030</v>
      </c>
      <c r="C38" s="32">
        <f t="shared" si="1"/>
        <v>30</v>
      </c>
      <c r="D38" s="27"/>
      <c r="E38" s="25">
        <f t="shared" si="3"/>
        <v>14</v>
      </c>
      <c r="F38" s="31" t="s">
        <v>31</v>
      </c>
      <c r="G38" s="22"/>
      <c r="H38" s="22"/>
      <c r="I38" s="21"/>
      <c r="J38" s="23"/>
      <c r="K38" s="5"/>
    </row>
    <row r="39" spans="1:20" ht="15.75" thickBot="1" x14ac:dyDescent="0.3">
      <c r="A39" s="60"/>
      <c r="B39" s="37">
        <f t="shared" si="0"/>
        <v>40031</v>
      </c>
      <c r="C39" s="51">
        <f t="shared" si="1"/>
        <v>31</v>
      </c>
      <c r="D39" s="39"/>
      <c r="E39" s="38">
        <f t="shared" si="3"/>
        <v>15</v>
      </c>
      <c r="F39" s="40" t="s">
        <v>31</v>
      </c>
      <c r="G39" s="41"/>
      <c r="H39" s="41"/>
      <c r="I39" s="42"/>
      <c r="J39" s="43"/>
      <c r="K39" s="44"/>
    </row>
    <row r="40" spans="1:20" ht="15.75" thickTop="1" x14ac:dyDescent="0.25">
      <c r="A40" s="60"/>
      <c r="B40" s="33">
        <f t="shared" si="0"/>
        <v>40032</v>
      </c>
      <c r="C40" s="76">
        <f t="shared" si="1"/>
        <v>32</v>
      </c>
      <c r="D40" s="66" t="s">
        <v>50</v>
      </c>
      <c r="E40" s="45">
        <v>0</v>
      </c>
      <c r="F40" s="34" t="s">
        <v>32</v>
      </c>
      <c r="G40" s="35" t="s">
        <v>2</v>
      </c>
      <c r="H40" s="35">
        <v>2</v>
      </c>
      <c r="I40" s="34" t="s">
        <v>25</v>
      </c>
      <c r="J40" s="34" t="s">
        <v>52</v>
      </c>
      <c r="K40" s="36"/>
      <c r="P40" s="3"/>
      <c r="Q40" s="3"/>
      <c r="R40" s="3"/>
      <c r="S40" s="3"/>
      <c r="T40" s="3"/>
    </row>
    <row r="41" spans="1:20" x14ac:dyDescent="0.25">
      <c r="A41" s="60"/>
      <c r="B41" s="20">
        <f t="shared" si="0"/>
        <v>40033</v>
      </c>
      <c r="C41" s="32">
        <f t="shared" si="1"/>
        <v>33</v>
      </c>
      <c r="D41" s="27"/>
      <c r="E41" s="25">
        <f t="shared" si="3"/>
        <v>1</v>
      </c>
      <c r="F41" s="21" t="s">
        <v>36</v>
      </c>
      <c r="G41" s="22" t="s">
        <v>2</v>
      </c>
      <c r="H41" s="22">
        <v>2</v>
      </c>
      <c r="I41" s="21" t="s">
        <v>25</v>
      </c>
      <c r="J41" s="21" t="s">
        <v>56</v>
      </c>
      <c r="K41" s="24"/>
      <c r="P41" s="2"/>
    </row>
    <row r="42" spans="1:20" x14ac:dyDescent="0.25">
      <c r="A42" s="60"/>
      <c r="B42" s="20">
        <f t="shared" si="0"/>
        <v>40034</v>
      </c>
      <c r="C42" s="32">
        <f t="shared" si="1"/>
        <v>34</v>
      </c>
      <c r="D42" s="27"/>
      <c r="E42" s="25">
        <f t="shared" si="3"/>
        <v>2</v>
      </c>
      <c r="F42" s="21" t="s">
        <v>45</v>
      </c>
      <c r="G42" s="22" t="s">
        <v>2</v>
      </c>
      <c r="H42" s="22">
        <v>2</v>
      </c>
      <c r="I42" s="21" t="s">
        <v>25</v>
      </c>
      <c r="J42" s="21" t="s">
        <v>57</v>
      </c>
      <c r="K42" s="24"/>
      <c r="T42" s="1"/>
    </row>
    <row r="43" spans="1:20" x14ac:dyDescent="0.25">
      <c r="A43" s="60"/>
      <c r="B43" s="20">
        <f t="shared" si="0"/>
        <v>40035</v>
      </c>
      <c r="C43" s="32">
        <f t="shared" si="1"/>
        <v>35</v>
      </c>
      <c r="D43" s="27"/>
      <c r="E43" s="25">
        <f t="shared" si="3"/>
        <v>3</v>
      </c>
      <c r="F43" s="21" t="s">
        <v>35</v>
      </c>
      <c r="G43" s="22" t="s">
        <v>1</v>
      </c>
      <c r="H43" s="22">
        <v>2</v>
      </c>
      <c r="I43" s="21" t="s">
        <v>25</v>
      </c>
      <c r="J43" s="21" t="s">
        <v>52</v>
      </c>
      <c r="K43" s="24"/>
    </row>
    <row r="44" spans="1:20" x14ac:dyDescent="0.25">
      <c r="A44" s="60"/>
      <c r="B44" s="20">
        <f t="shared" si="0"/>
        <v>40036</v>
      </c>
      <c r="C44" s="32">
        <f t="shared" si="1"/>
        <v>36</v>
      </c>
      <c r="D44" s="27"/>
      <c r="E44" s="25">
        <f t="shared" si="3"/>
        <v>4</v>
      </c>
      <c r="F44" s="21" t="s">
        <v>33</v>
      </c>
      <c r="G44" s="22" t="s">
        <v>1</v>
      </c>
      <c r="H44" s="22">
        <v>2</v>
      </c>
      <c r="I44" s="21" t="s">
        <v>24</v>
      </c>
      <c r="J44" s="21" t="s">
        <v>56</v>
      </c>
      <c r="K44" s="24"/>
    </row>
    <row r="45" spans="1:20" x14ac:dyDescent="0.25">
      <c r="A45" s="60"/>
      <c r="B45" s="20">
        <f t="shared" si="0"/>
        <v>40037</v>
      </c>
      <c r="C45" s="32">
        <f t="shared" si="1"/>
        <v>37</v>
      </c>
      <c r="D45" s="27"/>
      <c r="E45" s="25">
        <f t="shared" si="3"/>
        <v>5</v>
      </c>
      <c r="F45" s="21" t="s">
        <v>34</v>
      </c>
      <c r="G45" s="22" t="s">
        <v>1</v>
      </c>
      <c r="H45" s="22">
        <v>2</v>
      </c>
      <c r="I45" s="21" t="s">
        <v>24</v>
      </c>
      <c r="J45" s="21" t="s">
        <v>57</v>
      </c>
      <c r="K45" s="24"/>
    </row>
    <row r="46" spans="1:20" x14ac:dyDescent="0.25">
      <c r="A46" s="60"/>
      <c r="B46" s="20">
        <f t="shared" si="0"/>
        <v>40038</v>
      </c>
      <c r="C46" s="32">
        <f t="shared" si="1"/>
        <v>38</v>
      </c>
      <c r="D46" s="27"/>
      <c r="E46" s="25">
        <f t="shared" si="3"/>
        <v>6</v>
      </c>
      <c r="F46" s="21" t="s">
        <v>39</v>
      </c>
      <c r="G46" s="22" t="s">
        <v>4</v>
      </c>
      <c r="H46" s="22">
        <v>2</v>
      </c>
      <c r="I46" s="21" t="s">
        <v>25</v>
      </c>
      <c r="J46" s="21" t="s">
        <v>52</v>
      </c>
      <c r="K46" s="24" t="s">
        <v>5</v>
      </c>
    </row>
    <row r="47" spans="1:20" x14ac:dyDescent="0.25">
      <c r="A47" s="60"/>
      <c r="B47" s="20">
        <f t="shared" si="0"/>
        <v>40039</v>
      </c>
      <c r="C47" s="32">
        <f t="shared" si="1"/>
        <v>39</v>
      </c>
      <c r="D47" s="27"/>
      <c r="E47" s="25">
        <f t="shared" si="3"/>
        <v>7</v>
      </c>
      <c r="F47" s="31" t="s">
        <v>31</v>
      </c>
      <c r="G47" s="22"/>
      <c r="H47" s="22"/>
      <c r="I47" s="21"/>
      <c r="J47" s="21"/>
      <c r="K47" s="24"/>
    </row>
    <row r="48" spans="1:20" x14ac:dyDescent="0.25">
      <c r="A48" s="60"/>
      <c r="B48" s="20">
        <f t="shared" si="0"/>
        <v>40040</v>
      </c>
      <c r="C48" s="32">
        <f t="shared" si="1"/>
        <v>40</v>
      </c>
      <c r="D48" s="27"/>
      <c r="E48" s="25">
        <f t="shared" si="3"/>
        <v>8</v>
      </c>
      <c r="F48" s="31" t="s">
        <v>31</v>
      </c>
      <c r="G48" s="22"/>
      <c r="H48" s="22"/>
      <c r="I48" s="21"/>
      <c r="J48" s="21"/>
      <c r="K48" s="24"/>
    </row>
    <row r="49" spans="1:11" x14ac:dyDescent="0.25">
      <c r="A49" s="60"/>
      <c r="B49" s="20">
        <f t="shared" si="0"/>
        <v>40041</v>
      </c>
      <c r="C49" s="32">
        <f t="shared" si="1"/>
        <v>41</v>
      </c>
      <c r="D49" s="27"/>
      <c r="E49" s="25">
        <f t="shared" si="3"/>
        <v>9</v>
      </c>
      <c r="F49" s="31" t="s">
        <v>31</v>
      </c>
      <c r="G49" s="22"/>
      <c r="H49" s="22"/>
      <c r="I49" s="21"/>
      <c r="J49" s="21"/>
      <c r="K49" s="24"/>
    </row>
    <row r="50" spans="1:11" x14ac:dyDescent="0.25">
      <c r="A50" s="60"/>
      <c r="B50" s="20">
        <f t="shared" si="0"/>
        <v>40042</v>
      </c>
      <c r="C50" s="32">
        <f t="shared" si="1"/>
        <v>42</v>
      </c>
      <c r="D50" s="27"/>
      <c r="E50" s="25">
        <f t="shared" si="3"/>
        <v>10</v>
      </c>
      <c r="F50" s="31" t="s">
        <v>31</v>
      </c>
      <c r="G50" s="22"/>
      <c r="H50" s="22"/>
      <c r="I50" s="21"/>
      <c r="J50" s="21"/>
      <c r="K50" s="24"/>
    </row>
    <row r="51" spans="1:11" x14ac:dyDescent="0.25">
      <c r="A51" s="60"/>
      <c r="B51" s="20">
        <f t="shared" si="0"/>
        <v>40043</v>
      </c>
      <c r="C51" s="32">
        <f t="shared" si="1"/>
        <v>43</v>
      </c>
      <c r="D51" s="27"/>
      <c r="E51" s="25">
        <f t="shared" si="3"/>
        <v>11</v>
      </c>
      <c r="F51" s="31" t="s">
        <v>31</v>
      </c>
      <c r="G51" s="22"/>
      <c r="H51" s="22"/>
      <c r="I51" s="21"/>
      <c r="J51" s="21"/>
      <c r="K51" s="24"/>
    </row>
    <row r="52" spans="1:11" x14ac:dyDescent="0.25">
      <c r="A52" s="60"/>
      <c r="B52" s="20">
        <f t="shared" si="0"/>
        <v>40044</v>
      </c>
      <c r="C52" s="32">
        <f t="shared" si="1"/>
        <v>44</v>
      </c>
      <c r="D52" s="27"/>
      <c r="E52" s="25">
        <f t="shared" si="3"/>
        <v>12</v>
      </c>
      <c r="F52" s="31" t="s">
        <v>31</v>
      </c>
      <c r="G52" s="22"/>
      <c r="H52" s="22"/>
      <c r="I52" s="21"/>
      <c r="J52" s="21"/>
      <c r="K52" s="24"/>
    </row>
    <row r="53" spans="1:11" x14ac:dyDescent="0.25">
      <c r="A53" s="60"/>
      <c r="B53" s="20">
        <f t="shared" si="0"/>
        <v>40045</v>
      </c>
      <c r="C53" s="32">
        <f t="shared" si="1"/>
        <v>45</v>
      </c>
      <c r="D53" s="27"/>
      <c r="E53" s="25">
        <f t="shared" si="3"/>
        <v>13</v>
      </c>
      <c r="F53" s="31" t="s">
        <v>31</v>
      </c>
      <c r="G53" s="22"/>
      <c r="H53" s="22"/>
      <c r="I53" s="21"/>
      <c r="J53" s="21"/>
      <c r="K53" s="24"/>
    </row>
    <row r="54" spans="1:11" x14ac:dyDescent="0.25">
      <c r="A54" s="60"/>
      <c r="B54" s="20">
        <f t="shared" si="0"/>
        <v>40046</v>
      </c>
      <c r="C54" s="32">
        <f t="shared" si="1"/>
        <v>46</v>
      </c>
      <c r="D54" s="27"/>
      <c r="E54" s="25">
        <f t="shared" si="3"/>
        <v>14</v>
      </c>
      <c r="F54" s="31" t="s">
        <v>31</v>
      </c>
      <c r="G54" s="22"/>
      <c r="H54" s="22"/>
      <c r="I54" s="21"/>
      <c r="J54" s="21"/>
      <c r="K54" s="24"/>
    </row>
    <row r="55" spans="1:11" ht="15.75" thickBot="1" x14ac:dyDescent="0.3">
      <c r="A55" s="60"/>
      <c r="B55" s="37">
        <f t="shared" si="0"/>
        <v>40047</v>
      </c>
      <c r="C55" s="51">
        <f t="shared" si="1"/>
        <v>47</v>
      </c>
      <c r="D55" s="39"/>
      <c r="E55" s="38">
        <f t="shared" si="3"/>
        <v>15</v>
      </c>
      <c r="F55" s="40" t="s">
        <v>31</v>
      </c>
      <c r="G55" s="41"/>
      <c r="H55" s="41"/>
      <c r="I55" s="42"/>
      <c r="J55" s="42"/>
      <c r="K55" s="49"/>
    </row>
    <row r="56" spans="1:11" ht="15.75" thickTop="1" x14ac:dyDescent="0.25">
      <c r="A56" s="60"/>
      <c r="B56" s="33">
        <f t="shared" si="0"/>
        <v>40048</v>
      </c>
      <c r="C56" s="76">
        <f t="shared" si="1"/>
        <v>48</v>
      </c>
      <c r="D56" s="66" t="s">
        <v>51</v>
      </c>
      <c r="E56" s="74">
        <v>0</v>
      </c>
      <c r="F56" s="34" t="s">
        <v>42</v>
      </c>
      <c r="G56" s="35" t="s">
        <v>2</v>
      </c>
      <c r="H56" s="35">
        <v>4</v>
      </c>
      <c r="I56" s="34" t="s">
        <v>40</v>
      </c>
      <c r="J56" s="34" t="s">
        <v>52</v>
      </c>
      <c r="K56" s="36" t="s">
        <v>9</v>
      </c>
    </row>
    <row r="57" spans="1:11" x14ac:dyDescent="0.25">
      <c r="A57" s="60"/>
      <c r="B57" s="20">
        <f t="shared" si="0"/>
        <v>40050</v>
      </c>
      <c r="C57" s="32">
        <f t="shared" si="1"/>
        <v>50</v>
      </c>
      <c r="D57" s="27"/>
      <c r="E57" s="25">
        <f t="shared" si="3"/>
        <v>2</v>
      </c>
      <c r="F57" s="21" t="s">
        <v>43</v>
      </c>
      <c r="G57" s="22" t="s">
        <v>2</v>
      </c>
      <c r="H57" s="22">
        <v>4</v>
      </c>
      <c r="I57" s="21" t="s">
        <v>40</v>
      </c>
      <c r="J57" s="21" t="s">
        <v>53</v>
      </c>
      <c r="K57" s="24" t="s">
        <v>10</v>
      </c>
    </row>
    <row r="58" spans="1:11" x14ac:dyDescent="0.25">
      <c r="A58" s="60"/>
      <c r="B58" s="20">
        <f t="shared" si="0"/>
        <v>40052</v>
      </c>
      <c r="C58" s="32">
        <f t="shared" si="1"/>
        <v>52</v>
      </c>
      <c r="D58" s="27"/>
      <c r="E58" s="25">
        <f t="shared" si="3"/>
        <v>4</v>
      </c>
      <c r="F58" s="21" t="s">
        <v>44</v>
      </c>
      <c r="G58" s="22" t="s">
        <v>2</v>
      </c>
      <c r="H58" s="22">
        <v>4</v>
      </c>
      <c r="I58" s="21" t="s">
        <v>40</v>
      </c>
      <c r="J58" s="21" t="s">
        <v>54</v>
      </c>
      <c r="K58" s="24" t="s">
        <v>11</v>
      </c>
    </row>
    <row r="59" spans="1:11" x14ac:dyDescent="0.25">
      <c r="A59" s="60"/>
      <c r="B59" s="20">
        <f t="shared" si="0"/>
        <v>40054</v>
      </c>
      <c r="C59" s="32">
        <f t="shared" si="1"/>
        <v>54</v>
      </c>
      <c r="D59" s="27"/>
      <c r="E59" s="25">
        <f t="shared" si="3"/>
        <v>6</v>
      </c>
      <c r="F59" s="21" t="s">
        <v>46</v>
      </c>
      <c r="G59" s="22" t="s">
        <v>1</v>
      </c>
      <c r="H59" s="22">
        <v>4</v>
      </c>
      <c r="I59" s="21" t="s">
        <v>40</v>
      </c>
      <c r="J59" s="21" t="s">
        <v>52</v>
      </c>
      <c r="K59" s="24" t="s">
        <v>8</v>
      </c>
    </row>
    <row r="60" spans="1:11" x14ac:dyDescent="0.25">
      <c r="A60" s="60"/>
      <c r="B60" s="20">
        <f t="shared" si="0"/>
        <v>40056</v>
      </c>
      <c r="C60" s="32">
        <f t="shared" si="1"/>
        <v>56</v>
      </c>
      <c r="D60" s="27"/>
      <c r="E60" s="25">
        <f t="shared" si="3"/>
        <v>8</v>
      </c>
      <c r="F60" s="21" t="s">
        <v>47</v>
      </c>
      <c r="G60" s="22" t="s">
        <v>1</v>
      </c>
      <c r="H60" s="22">
        <v>4</v>
      </c>
      <c r="I60" s="21" t="s">
        <v>41</v>
      </c>
      <c r="J60" s="21" t="s">
        <v>53</v>
      </c>
      <c r="K60" s="24" t="s">
        <v>7</v>
      </c>
    </row>
    <row r="61" spans="1:11" x14ac:dyDescent="0.25">
      <c r="A61" s="60"/>
      <c r="B61" s="20">
        <f t="shared" si="0"/>
        <v>40058</v>
      </c>
      <c r="C61" s="32">
        <f t="shared" si="1"/>
        <v>58</v>
      </c>
      <c r="D61" s="27"/>
      <c r="E61" s="25">
        <f t="shared" si="3"/>
        <v>10</v>
      </c>
      <c r="F61" s="21" t="s">
        <v>48</v>
      </c>
      <c r="G61" s="22" t="s">
        <v>1</v>
      </c>
      <c r="H61" s="22">
        <v>4</v>
      </c>
      <c r="I61" s="21" t="s">
        <v>41</v>
      </c>
      <c r="J61" s="21" t="s">
        <v>54</v>
      </c>
      <c r="K61" s="24" t="s">
        <v>6</v>
      </c>
    </row>
    <row r="62" spans="1:11" x14ac:dyDescent="0.25">
      <c r="A62" s="60"/>
      <c r="B62" s="20">
        <f t="shared" si="0"/>
        <v>40060</v>
      </c>
      <c r="C62" s="32">
        <f t="shared" si="1"/>
        <v>60</v>
      </c>
      <c r="D62" s="27"/>
      <c r="E62" s="25">
        <f t="shared" si="3"/>
        <v>12</v>
      </c>
      <c r="F62" s="21" t="s">
        <v>49</v>
      </c>
      <c r="G62" s="22" t="s">
        <v>4</v>
      </c>
      <c r="H62" s="22">
        <v>4</v>
      </c>
      <c r="I62" s="21" t="s">
        <v>40</v>
      </c>
      <c r="J62" s="21" t="s">
        <v>52</v>
      </c>
      <c r="K62" s="24" t="s">
        <v>5</v>
      </c>
    </row>
    <row r="63" spans="1:11" x14ac:dyDescent="0.25">
      <c r="A63" s="60"/>
      <c r="B63" s="20">
        <f t="shared" si="0"/>
        <v>40062</v>
      </c>
      <c r="C63" s="32">
        <f t="shared" si="1"/>
        <v>62</v>
      </c>
      <c r="D63" s="27"/>
      <c r="E63" s="25">
        <f t="shared" si="3"/>
        <v>14</v>
      </c>
      <c r="F63" s="31" t="s">
        <v>31</v>
      </c>
      <c r="G63" s="58"/>
      <c r="H63" s="22">
        <v>4</v>
      </c>
      <c r="I63" s="54"/>
      <c r="J63" s="54"/>
      <c r="K63" s="59"/>
    </row>
    <row r="64" spans="1:11" x14ac:dyDescent="0.25">
      <c r="A64" s="60"/>
      <c r="B64" s="20">
        <f t="shared" si="0"/>
        <v>40064</v>
      </c>
      <c r="C64" s="32">
        <f t="shared" si="1"/>
        <v>64</v>
      </c>
      <c r="D64" s="27"/>
      <c r="E64" s="25">
        <f t="shared" si="3"/>
        <v>16</v>
      </c>
      <c r="F64" s="31" t="s">
        <v>31</v>
      </c>
      <c r="G64" s="58"/>
      <c r="H64" s="22">
        <v>4</v>
      </c>
      <c r="I64" s="54"/>
      <c r="J64" s="54"/>
      <c r="K64" s="59"/>
    </row>
    <row r="65" spans="1:11" x14ac:dyDescent="0.25">
      <c r="A65" s="60"/>
      <c r="B65" s="20">
        <f t="shared" si="0"/>
        <v>40066</v>
      </c>
      <c r="C65" s="32">
        <f t="shared" si="1"/>
        <v>66</v>
      </c>
      <c r="D65" s="27"/>
      <c r="E65" s="25">
        <f t="shared" si="3"/>
        <v>18</v>
      </c>
      <c r="F65" s="31" t="s">
        <v>31</v>
      </c>
      <c r="G65" s="58"/>
      <c r="H65" s="22">
        <v>4</v>
      </c>
      <c r="I65" s="54"/>
      <c r="J65" s="54"/>
      <c r="K65" s="59"/>
    </row>
    <row r="66" spans="1:11" x14ac:dyDescent="0.25">
      <c r="A66" s="60"/>
      <c r="B66" s="20">
        <f t="shared" si="0"/>
        <v>40068</v>
      </c>
      <c r="C66" s="32">
        <f t="shared" si="1"/>
        <v>68</v>
      </c>
      <c r="D66" s="27"/>
      <c r="E66" s="25">
        <f t="shared" si="3"/>
        <v>20</v>
      </c>
      <c r="F66" s="31" t="s">
        <v>31</v>
      </c>
      <c r="G66" s="58"/>
      <c r="H66" s="22">
        <v>4</v>
      </c>
      <c r="I66" s="54"/>
      <c r="J66" s="54"/>
      <c r="K66" s="59"/>
    </row>
    <row r="67" spans="1:11" x14ac:dyDescent="0.25">
      <c r="A67" s="60"/>
      <c r="B67" s="20">
        <f t="shared" si="0"/>
        <v>40070</v>
      </c>
      <c r="C67" s="32">
        <f t="shared" si="1"/>
        <v>70</v>
      </c>
      <c r="D67" s="27"/>
      <c r="E67" s="25">
        <f t="shared" si="3"/>
        <v>22</v>
      </c>
      <c r="F67" s="31" t="s">
        <v>31</v>
      </c>
      <c r="G67" s="58"/>
      <c r="H67" s="22">
        <v>4</v>
      </c>
      <c r="I67" s="54"/>
      <c r="J67" s="54"/>
      <c r="K67" s="59"/>
    </row>
    <row r="68" spans="1:11" x14ac:dyDescent="0.25">
      <c r="A68" s="60"/>
      <c r="B68" s="20">
        <f t="shared" si="0"/>
        <v>40072</v>
      </c>
      <c r="C68" s="32">
        <f t="shared" si="1"/>
        <v>72</v>
      </c>
      <c r="D68" s="27"/>
      <c r="E68" s="25">
        <f t="shared" si="3"/>
        <v>24</v>
      </c>
      <c r="F68" s="31" t="s">
        <v>31</v>
      </c>
      <c r="G68" s="58"/>
      <c r="H68" s="22">
        <v>4</v>
      </c>
      <c r="I68" s="54"/>
      <c r="J68" s="54"/>
      <c r="K68" s="59"/>
    </row>
    <row r="69" spans="1:11" x14ac:dyDescent="0.25">
      <c r="A69" s="60"/>
      <c r="B69" s="20">
        <f t="shared" si="0"/>
        <v>40074</v>
      </c>
      <c r="C69" s="32">
        <f t="shared" si="1"/>
        <v>74</v>
      </c>
      <c r="D69" s="27"/>
      <c r="E69" s="25">
        <f t="shared" si="3"/>
        <v>26</v>
      </c>
      <c r="F69" s="31" t="s">
        <v>31</v>
      </c>
      <c r="G69" s="58"/>
      <c r="H69" s="22">
        <v>4</v>
      </c>
      <c r="I69" s="54"/>
      <c r="J69" s="54"/>
      <c r="K69" s="59"/>
    </row>
    <row r="70" spans="1:11" x14ac:dyDescent="0.25">
      <c r="A70" s="60"/>
      <c r="B70" s="20">
        <f t="shared" si="0"/>
        <v>40076</v>
      </c>
      <c r="C70" s="32">
        <f t="shared" si="1"/>
        <v>76</v>
      </c>
      <c r="D70" s="27"/>
      <c r="E70" s="25">
        <f t="shared" si="3"/>
        <v>28</v>
      </c>
      <c r="F70" s="31" t="s">
        <v>31</v>
      </c>
      <c r="G70" s="58"/>
      <c r="H70" s="22">
        <v>4</v>
      </c>
      <c r="I70" s="54"/>
      <c r="J70" s="54"/>
      <c r="K70" s="59"/>
    </row>
    <row r="71" spans="1:11" ht="15.75" thickBot="1" x14ac:dyDescent="0.3">
      <c r="A71" s="69"/>
      <c r="B71" s="78">
        <f t="shared" si="0"/>
        <v>40078</v>
      </c>
      <c r="C71" s="51">
        <f t="shared" si="1"/>
        <v>78</v>
      </c>
      <c r="D71" s="39"/>
      <c r="E71" s="38">
        <f t="shared" si="3"/>
        <v>30</v>
      </c>
      <c r="F71" s="40" t="s">
        <v>31</v>
      </c>
      <c r="G71" s="41"/>
      <c r="H71" s="41">
        <v>4</v>
      </c>
      <c r="I71" s="42"/>
      <c r="J71" s="42"/>
      <c r="K71" s="49"/>
    </row>
    <row r="72" spans="1:11" ht="15.75" thickTop="1" x14ac:dyDescent="0.25"/>
  </sheetData>
  <mergeCells count="6">
    <mergeCell ref="A8:A23"/>
    <mergeCell ref="D8:D23"/>
    <mergeCell ref="A24:A71"/>
    <mergeCell ref="D24:D39"/>
    <mergeCell ref="D56:D71"/>
    <mergeCell ref="D40:D55"/>
  </mergeCells>
  <phoneticPr fontId="3" type="noConversion"/>
  <hyperlinks>
    <hyperlink ref="J24" location="'registers bits'!A1:P1" display="bit field" xr:uid="{5ECB9A07-D09B-4CE5-A445-65A853A4E0B0}"/>
    <hyperlink ref="J25" location="'registers bits'!A6:P6" display="bit field" xr:uid="{49BA859B-1D85-4477-9D03-D7906FF0D0D9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10F4-1547-4257-9B09-5D4263CD338C}">
  <dimension ref="A1:Q11"/>
  <sheetViews>
    <sheetView zoomScale="108" workbookViewId="0">
      <selection activeCell="F12" sqref="F12"/>
    </sheetView>
  </sheetViews>
  <sheetFormatPr defaultRowHeight="15" x14ac:dyDescent="0.25"/>
  <cols>
    <col min="1" max="1" width="10.7109375" customWidth="1"/>
  </cols>
  <sheetData>
    <row r="1" spans="1:17" ht="15.75" thickBot="1" x14ac:dyDescent="0.3">
      <c r="B1" s="17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17" x14ac:dyDescent="0.25">
      <c r="A2" s="87" t="s">
        <v>66</v>
      </c>
      <c r="B2" s="82">
        <v>15</v>
      </c>
      <c r="C2" s="11">
        <v>14</v>
      </c>
      <c r="D2" s="11">
        <v>13</v>
      </c>
      <c r="E2" s="11">
        <v>12</v>
      </c>
      <c r="F2" s="11">
        <v>11</v>
      </c>
      <c r="G2" s="11">
        <v>10</v>
      </c>
      <c r="H2" s="11">
        <v>9</v>
      </c>
      <c r="I2" s="11">
        <v>8</v>
      </c>
      <c r="J2" s="11">
        <v>7</v>
      </c>
      <c r="K2" s="11">
        <v>6</v>
      </c>
      <c r="L2" s="11">
        <v>5</v>
      </c>
      <c r="M2" s="11">
        <v>4</v>
      </c>
      <c r="N2" s="11">
        <v>3</v>
      </c>
      <c r="O2" s="11">
        <v>2</v>
      </c>
      <c r="P2" s="11">
        <v>1</v>
      </c>
      <c r="Q2" s="12">
        <v>0</v>
      </c>
    </row>
    <row r="3" spans="1:17" x14ac:dyDescent="0.25">
      <c r="A3" s="88" t="s">
        <v>64</v>
      </c>
      <c r="B3" s="80" t="s">
        <v>14</v>
      </c>
      <c r="C3" s="79" t="s">
        <v>14</v>
      </c>
      <c r="D3" s="4" t="s">
        <v>14</v>
      </c>
      <c r="E3" s="4" t="s">
        <v>14</v>
      </c>
      <c r="F3" s="4" t="s">
        <v>14</v>
      </c>
      <c r="G3" s="4" t="s">
        <v>14</v>
      </c>
      <c r="H3" s="4" t="s">
        <v>14</v>
      </c>
      <c r="I3" s="4" t="s">
        <v>14</v>
      </c>
      <c r="J3" s="4" t="s">
        <v>14</v>
      </c>
      <c r="K3" s="4" t="s">
        <v>14</v>
      </c>
      <c r="L3" s="4" t="s">
        <v>14</v>
      </c>
      <c r="M3" s="4" t="s">
        <v>14</v>
      </c>
      <c r="N3" s="4" t="s">
        <v>14</v>
      </c>
      <c r="O3" s="4" t="s">
        <v>14</v>
      </c>
      <c r="P3" s="4" t="s">
        <v>14</v>
      </c>
      <c r="Q3" s="6" t="s">
        <v>13</v>
      </c>
    </row>
    <row r="4" spans="1:17" x14ac:dyDescent="0.25">
      <c r="A4" s="88" t="s">
        <v>65</v>
      </c>
      <c r="B4" s="85"/>
      <c r="C4" s="1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6">
        <v>0</v>
      </c>
    </row>
    <row r="5" spans="1:17" ht="15.75" thickBot="1" x14ac:dyDescent="0.3">
      <c r="A5" s="89" t="s">
        <v>21</v>
      </c>
      <c r="B5" s="81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/>
    </row>
    <row r="6" spans="1:17" ht="15.75" thickBot="1" x14ac:dyDescent="0.3"/>
    <row r="7" spans="1:17" ht="15.75" thickBot="1" x14ac:dyDescent="0.3">
      <c r="B7" s="17" t="s">
        <v>12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9"/>
    </row>
    <row r="8" spans="1:17" x14ac:dyDescent="0.25">
      <c r="A8" s="87" t="s">
        <v>66</v>
      </c>
      <c r="B8" s="10">
        <v>15</v>
      </c>
      <c r="C8" s="11">
        <v>14</v>
      </c>
      <c r="D8" s="11">
        <v>13</v>
      </c>
      <c r="E8" s="11">
        <v>12</v>
      </c>
      <c r="F8" s="11">
        <v>11</v>
      </c>
      <c r="G8" s="11">
        <v>10</v>
      </c>
      <c r="H8" s="11">
        <v>9</v>
      </c>
      <c r="I8" s="11">
        <v>8</v>
      </c>
      <c r="J8" s="11">
        <v>7</v>
      </c>
      <c r="K8" s="11">
        <v>6</v>
      </c>
      <c r="L8" s="11">
        <v>5</v>
      </c>
      <c r="M8" s="11">
        <v>4</v>
      </c>
      <c r="N8" s="11">
        <v>3</v>
      </c>
      <c r="O8" s="11">
        <v>2</v>
      </c>
      <c r="P8" s="11">
        <v>1</v>
      </c>
      <c r="Q8" s="12">
        <v>0</v>
      </c>
    </row>
    <row r="9" spans="1:17" x14ac:dyDescent="0.25">
      <c r="A9" s="88" t="s">
        <v>64</v>
      </c>
      <c r="B9" s="79" t="s">
        <v>14</v>
      </c>
      <c r="C9" s="4" t="s">
        <v>14</v>
      </c>
      <c r="D9" s="4" t="s">
        <v>14</v>
      </c>
      <c r="E9" s="4" t="s">
        <v>14</v>
      </c>
      <c r="F9" s="4" t="s">
        <v>14</v>
      </c>
      <c r="G9" s="4" t="s">
        <v>14</v>
      </c>
      <c r="H9" s="4" t="s">
        <v>14</v>
      </c>
      <c r="I9" s="4" t="s">
        <v>14</v>
      </c>
      <c r="J9" s="4" t="s">
        <v>14</v>
      </c>
      <c r="K9" s="4" t="s">
        <v>14</v>
      </c>
      <c r="L9" s="4" t="s">
        <v>14</v>
      </c>
      <c r="M9" s="4" t="s">
        <v>14</v>
      </c>
      <c r="N9" s="4" t="s">
        <v>14</v>
      </c>
      <c r="O9" s="4" t="s">
        <v>63</v>
      </c>
      <c r="P9" s="80" t="s">
        <v>62</v>
      </c>
      <c r="Q9" s="6" t="s">
        <v>67</v>
      </c>
    </row>
    <row r="10" spans="1:17" x14ac:dyDescent="0.25">
      <c r="A10" s="88" t="s">
        <v>65</v>
      </c>
      <c r="B10" s="83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>
        <v>0</v>
      </c>
      <c r="P10" s="85">
        <v>0</v>
      </c>
      <c r="Q10" s="86">
        <v>0</v>
      </c>
    </row>
    <row r="11" spans="1:17" ht="15.75" thickBot="1" x14ac:dyDescent="0.3">
      <c r="A11" s="89" t="s">
        <v>21</v>
      </c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/>
    </row>
  </sheetData>
  <mergeCells count="2">
    <mergeCell ref="B1:Q1"/>
    <mergeCell ref="B7:Q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registers bits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denwoken</dc:creator>
  <cp:lastModifiedBy>denwoken</cp:lastModifiedBy>
  <dcterms:created xsi:type="dcterms:W3CDTF">2025-11-10T05:09:24Z</dcterms:created>
  <dcterms:modified xsi:type="dcterms:W3CDTF">2026-02-14T11:18:05Z</dcterms:modified>
</cp:coreProperties>
</file>